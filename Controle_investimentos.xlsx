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DIO\Excel\"/>
    </mc:Choice>
  </mc:AlternateContent>
  <xr:revisionPtr revIDLastSave="0" documentId="8_{4CFB0BDF-1593-40A7-B569-7B00FED26332}" xr6:coauthVersionLast="47" xr6:coauthVersionMax="47" xr10:uidLastSave="{00000000-0000-0000-0000-000000000000}"/>
  <bookViews>
    <workbookView xWindow="-109" yWindow="-109" windowWidth="26301" windowHeight="14169" xr2:uid="{09BD67C4-42F5-4374-BB5B-BA7761119F1F}"/>
  </bookViews>
  <sheets>
    <sheet name="Controle de investimentos" sheetId="1" r:id="rId1"/>
    <sheet name="Apoio" sheetId="2" state="hidden" r:id="rId2"/>
  </sheets>
  <definedNames>
    <definedName name="aporte">'Controle de investimentos'!$D$12</definedName>
    <definedName name="patrimonio">'Controle de investimentos'!$D$15</definedName>
    <definedName name="qnt_anos">'Controle de investimentos'!$D$13</definedName>
    <definedName name="rendimento_carteira">'Controle de investimentos'!$D$8</definedName>
    <definedName name="salario">'Controle de investimentos'!$D$7</definedName>
    <definedName name="sugestao_investimento">'Controle de investimentos'!$D$9</definedName>
    <definedName name="taxa_mensal">'Controle de investimentos'!$D$14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  <c r="C31" i="1"/>
  <c r="C32" i="1"/>
  <c r="C33" i="1"/>
  <c r="D33" i="1" s="1"/>
  <c r="C34" i="1"/>
  <c r="D34" i="1" s="1"/>
  <c r="C29" i="1"/>
  <c r="D29" i="1" s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26" i="1"/>
  <c r="D15" i="1"/>
  <c r="D16" i="1" s="1"/>
  <c r="D9" i="1"/>
  <c r="C20" i="1"/>
  <c r="D20" i="1" s="1"/>
  <c r="C21" i="1"/>
  <c r="D21" i="1" s="1"/>
  <c r="C22" i="1"/>
  <c r="D22" i="1" s="1"/>
  <c r="C23" i="1"/>
  <c r="D23" i="1" s="1"/>
  <c r="C19" i="1"/>
  <c r="D19" i="1" s="1"/>
  <c r="D32" i="1" l="1"/>
  <c r="D31" i="1"/>
  <c r="D30" i="1"/>
  <c r="D35" i="1" l="1"/>
</calcChain>
</file>

<file path=xl/sharedStrings.xml><?xml version="1.0" encoding="utf-8"?>
<sst xmlns="http://schemas.openxmlformats.org/spreadsheetml/2006/main" count="69" uniqueCount="33">
  <si>
    <t>INVESTIMENTO MENSAL</t>
  </si>
  <si>
    <t>Quanto devo investir por mês?</t>
  </si>
  <si>
    <t>Por quantos anos?</t>
  </si>
  <si>
    <t>Taxa de rendimento mensal?</t>
  </si>
  <si>
    <t>Patrimônio acumulado</t>
  </si>
  <si>
    <t>Dividendos mensais</t>
  </si>
  <si>
    <t>Quanto em 2 anos</t>
  </si>
  <si>
    <t>Quanto em 5 anos</t>
  </si>
  <si>
    <t>Quanto em 10 anos</t>
  </si>
  <si>
    <t>Quanto em 20 anos</t>
  </si>
  <si>
    <t>Quanto em 30 anos</t>
  </si>
  <si>
    <t>CENÁRIOS</t>
  </si>
  <si>
    <t>Dividendo</t>
  </si>
  <si>
    <t>Rendimento carteira</t>
  </si>
  <si>
    <t>Salário</t>
  </si>
  <si>
    <t>CONFIGURAÇÕES</t>
  </si>
  <si>
    <t>Conservador</t>
  </si>
  <si>
    <t>Valor a ser investido por mês</t>
  </si>
  <si>
    <t>PERFIL</t>
  </si>
  <si>
    <t>Percentual Sugerido</t>
  </si>
  <si>
    <t>Valores</t>
  </si>
  <si>
    <t>PAPEL</t>
  </si>
  <si>
    <t>TIJOLO</t>
  </si>
  <si>
    <t>TIPO DE FII</t>
  </si>
  <si>
    <t>HIBRIDOS</t>
  </si>
  <si>
    <t>FOFs</t>
  </si>
  <si>
    <t>DESENVOLVIMENTO</t>
  </si>
  <si>
    <t>HOTELARIAS</t>
  </si>
  <si>
    <t>CHAVE</t>
  </si>
  <si>
    <t>Moderado</t>
  </si>
  <si>
    <t>Agressivo</t>
  </si>
  <si>
    <t>%</t>
  </si>
  <si>
    <t>Sugestão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</si>
</sst>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0.000%"/>
    <numFmt numFmtId="168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2"/>
      <color theme="0"/>
      <name val="Aptos narrow"/>
    </font>
    <font>
      <sz val="12"/>
      <color theme="1"/>
      <name val="Aptos narrow"/>
    </font>
    <font>
      <b/>
      <sz val="12"/>
      <color theme="1"/>
      <name val="Aptos narrow"/>
    </font>
    <font>
      <b/>
      <sz val="11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29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medium">
        <color theme="1"/>
      </bottom>
      <diagonal/>
    </border>
    <border>
      <left/>
      <right style="thin">
        <color theme="0" tint="-0.14999847407452621"/>
      </right>
      <top style="medium">
        <color theme="1"/>
      </top>
      <bottom/>
      <diagonal/>
    </border>
    <border>
      <left/>
      <right style="thin">
        <color theme="0" tint="-0.1499984740745262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0" tint="-0.14999847407452621"/>
      </bottom>
      <diagonal/>
    </border>
    <border>
      <left style="medium">
        <color theme="1"/>
      </left>
      <right/>
      <top style="medium">
        <color theme="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/>
      <diagonal/>
    </border>
    <border>
      <left style="medium">
        <color theme="1"/>
      </left>
      <right style="thin">
        <color theme="0" tint="-0.14999847407452621"/>
      </right>
      <top/>
      <bottom/>
      <diagonal/>
    </border>
    <border>
      <left style="medium">
        <color theme="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medium">
        <color theme="1"/>
      </right>
      <top/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9" fontId="0" fillId="0" borderId="0" xfId="0" applyNumberFormat="1"/>
    <xf numFmtId="0" fontId="4" fillId="0" borderId="0" xfId="0" applyFont="1"/>
    <xf numFmtId="0" fontId="4" fillId="0" borderId="0" xfId="0" applyFont="1" applyBorder="1"/>
    <xf numFmtId="8" fontId="4" fillId="0" borderId="0" xfId="0" applyNumberFormat="1" applyFont="1" applyBorder="1"/>
    <xf numFmtId="0" fontId="3" fillId="0" borderId="0" xfId="0" applyFont="1" applyBorder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68" fontId="2" fillId="4" borderId="9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5" fillId="4" borderId="9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10" xfId="0" applyFont="1" applyBorder="1" applyAlignment="1">
      <alignment horizontal="left"/>
    </xf>
    <xf numFmtId="168" fontId="2" fillId="0" borderId="11" xfId="1" applyNumberFormat="1" applyFont="1" applyBorder="1" applyAlignment="1">
      <alignment horizontal="center"/>
    </xf>
    <xf numFmtId="10" fontId="2" fillId="0" borderId="11" xfId="0" applyNumberFormat="1" applyFont="1" applyBorder="1" applyAlignment="1">
      <alignment horizontal="center"/>
    </xf>
    <xf numFmtId="0" fontId="4" fillId="4" borderId="12" xfId="0" applyFont="1" applyFill="1" applyBorder="1" applyAlignment="1">
      <alignment horizontal="left"/>
    </xf>
    <xf numFmtId="0" fontId="4" fillId="4" borderId="13" xfId="0" applyFont="1" applyFill="1" applyBorder="1" applyAlignment="1">
      <alignment horizontal="left"/>
    </xf>
    <xf numFmtId="168" fontId="2" fillId="4" borderId="14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68" fontId="6" fillId="0" borderId="11" xfId="1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65" fontId="6" fillId="0" borderId="11" xfId="0" applyNumberFormat="1" applyFont="1" applyBorder="1" applyAlignment="1">
      <alignment horizontal="center"/>
    </xf>
    <xf numFmtId="0" fontId="5" fillId="4" borderId="10" xfId="0" applyFont="1" applyFill="1" applyBorder="1" applyAlignment="1">
      <alignment horizontal="left"/>
    </xf>
    <xf numFmtId="168" fontId="6" fillId="4" borderId="11" xfId="0" applyNumberFormat="1" applyFont="1" applyFill="1" applyBorder="1" applyAlignment="1">
      <alignment horizontal="center"/>
    </xf>
    <xf numFmtId="0" fontId="5" fillId="4" borderId="12" xfId="0" applyFont="1" applyFill="1" applyBorder="1" applyAlignment="1">
      <alignment horizontal="left"/>
    </xf>
    <xf numFmtId="0" fontId="5" fillId="4" borderId="13" xfId="0" applyFont="1" applyFill="1" applyBorder="1" applyAlignment="1">
      <alignment horizontal="left"/>
    </xf>
    <xf numFmtId="8" fontId="6" fillId="4" borderId="14" xfId="0" applyNumberFormat="1" applyFont="1" applyFill="1" applyBorder="1" applyAlignment="1">
      <alignment horizontal="center"/>
    </xf>
    <xf numFmtId="0" fontId="4" fillId="4" borderId="10" xfId="0" applyFont="1" applyFill="1" applyBorder="1" applyAlignment="1">
      <alignment horizontal="left"/>
    </xf>
    <xf numFmtId="168" fontId="2" fillId="4" borderId="11" xfId="0" applyNumberFormat="1" applyFont="1" applyFill="1" applyBorder="1" applyAlignment="1">
      <alignment horizontal="center"/>
    </xf>
    <xf numFmtId="0" fontId="4" fillId="4" borderId="12" xfId="0" applyFont="1" applyFill="1" applyBorder="1" applyAlignment="1">
      <alignment horizontal="left"/>
    </xf>
    <xf numFmtId="168" fontId="2" fillId="4" borderId="13" xfId="0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168" fontId="5" fillId="0" borderId="6" xfId="0" applyNumberFormat="1" applyFont="1" applyBorder="1"/>
    <xf numFmtId="0" fontId="4" fillId="6" borderId="3" xfId="0" applyFont="1" applyFill="1" applyBorder="1" applyAlignment="1">
      <alignment horizontal="center"/>
    </xf>
    <xf numFmtId="0" fontId="4" fillId="6" borderId="5" xfId="0" applyFont="1" applyFill="1" applyBorder="1"/>
    <xf numFmtId="168" fontId="4" fillId="6" borderId="6" xfId="0" applyNumberFormat="1" applyFont="1" applyFill="1" applyBorder="1"/>
    <xf numFmtId="168" fontId="4" fillId="7" borderId="4" xfId="0" applyNumberFormat="1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5" borderId="17" xfId="0" applyFont="1" applyFill="1" applyBorder="1"/>
    <xf numFmtId="0" fontId="4" fillId="5" borderId="18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9" fontId="4" fillId="4" borderId="20" xfId="0" applyNumberFormat="1" applyFont="1" applyFill="1" applyBorder="1" applyAlignment="1">
      <alignment horizontal="center"/>
    </xf>
    <xf numFmtId="0" fontId="4" fillId="6" borderId="16" xfId="0" applyFont="1" applyFill="1" applyBorder="1"/>
    <xf numFmtId="0" fontId="4" fillId="6" borderId="21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4" borderId="23" xfId="0" applyFont="1" applyFill="1" applyBorder="1" applyAlignment="1">
      <alignment horizontal="center"/>
    </xf>
    <xf numFmtId="9" fontId="4" fillId="4" borderId="24" xfId="0" applyNumberFormat="1" applyFont="1" applyFill="1" applyBorder="1" applyAlignment="1">
      <alignment horizontal="center"/>
    </xf>
    <xf numFmtId="168" fontId="4" fillId="7" borderId="25" xfId="0" applyNumberFormat="1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9" fontId="4" fillId="4" borderId="8" xfId="0" applyNumberFormat="1" applyFont="1" applyFill="1" applyBorder="1" applyAlignment="1">
      <alignment horizontal="center"/>
    </xf>
    <xf numFmtId="168" fontId="4" fillId="7" borderId="27" xfId="0" applyNumberFormat="1" applyFont="1" applyFill="1" applyBorder="1" applyAlignment="1">
      <alignment horizontal="center"/>
    </xf>
    <xf numFmtId="9" fontId="4" fillId="4" borderId="7" xfId="0" applyNumberFormat="1" applyFont="1" applyFill="1" applyBorder="1" applyAlignment="1">
      <alignment horizontal="center"/>
    </xf>
    <xf numFmtId="168" fontId="4" fillId="7" borderId="28" xfId="0" applyNumberFormat="1" applyFont="1" applyFill="1" applyBorder="1" applyAlignment="1">
      <alignment horizontal="center"/>
    </xf>
    <xf numFmtId="0" fontId="4" fillId="0" borderId="2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6800</xdr:colOff>
      <xdr:row>0</xdr:row>
      <xdr:rowOff>0</xdr:rowOff>
    </xdr:from>
    <xdr:ext cx="4171656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0BB1DD7-F915-92BE-58B0-46BF9509F929}"/>
            </a:ext>
          </a:extLst>
        </xdr:cNvPr>
        <xdr:cNvSpPr/>
      </xdr:nvSpPr>
      <xdr:spPr>
        <a:xfrm>
          <a:off x="300098" y="0"/>
          <a:ext cx="4171656" cy="937629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Investimentos</a:t>
          </a:r>
          <a:endParaRPr lang="en-US" sz="5400" b="0" cap="none" spc="0">
            <a:ln w="0"/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C514-5CAE-479D-AD21-414D4B7FC86C}">
  <dimension ref="A5:G37"/>
  <sheetViews>
    <sheetView showGridLines="0" tabSelected="1" zoomScaleNormal="100" workbookViewId="0">
      <selection activeCell="B18" sqref="B18:C18"/>
    </sheetView>
  </sheetViews>
  <sheetFormatPr defaultColWidth="0" defaultRowHeight="16.3" x14ac:dyDescent="0.3"/>
  <cols>
    <col min="1" max="1" width="4.25" style="2" customWidth="1"/>
    <col min="2" max="2" width="28.5" style="2" customWidth="1"/>
    <col min="3" max="3" width="19.5" style="2" bestFit="1" customWidth="1"/>
    <col min="4" max="4" width="13" style="2" bestFit="1" customWidth="1"/>
    <col min="5" max="5" width="4.25" style="2" customWidth="1"/>
    <col min="6" max="6" width="19.5" style="2" hidden="1" customWidth="1"/>
    <col min="7" max="7" width="11.75" style="2" hidden="1" customWidth="1"/>
    <col min="8" max="16384" width="9" style="2" hidden="1"/>
  </cols>
  <sheetData>
    <row r="5" spans="2:4" s="3" customFormat="1" ht="17" thickBot="1" x14ac:dyDescent="0.35"/>
    <row r="6" spans="2:4" s="3" customFormat="1" x14ac:dyDescent="0.3">
      <c r="B6" s="12" t="s">
        <v>15</v>
      </c>
      <c r="C6" s="13"/>
      <c r="D6" s="14"/>
    </row>
    <row r="7" spans="2:4" s="3" customFormat="1" x14ac:dyDescent="0.3">
      <c r="B7" s="15" t="s">
        <v>14</v>
      </c>
      <c r="C7" s="10"/>
      <c r="D7" s="16">
        <v>5000</v>
      </c>
    </row>
    <row r="8" spans="2:4" s="3" customFormat="1" x14ac:dyDescent="0.3">
      <c r="B8" s="15" t="s">
        <v>13</v>
      </c>
      <c r="C8" s="10"/>
      <c r="D8" s="17">
        <v>6.0000000000000001E-3</v>
      </c>
    </row>
    <row r="9" spans="2:4" s="3" customFormat="1" ht="17" thickBot="1" x14ac:dyDescent="0.35">
      <c r="B9" s="18" t="s">
        <v>32</v>
      </c>
      <c r="C9" s="19"/>
      <c r="D9" s="20">
        <f>D7*30%</f>
        <v>1500</v>
      </c>
    </row>
    <row r="10" spans="2:4" s="3" customFormat="1" ht="17" thickBot="1" x14ac:dyDescent="0.35"/>
    <row r="11" spans="2:4" s="3" customFormat="1" x14ac:dyDescent="0.3">
      <c r="B11" s="6" t="s">
        <v>0</v>
      </c>
      <c r="C11" s="7"/>
      <c r="D11" s="21"/>
    </row>
    <row r="12" spans="2:4" s="3" customFormat="1" x14ac:dyDescent="0.3">
      <c r="B12" s="15" t="s">
        <v>1</v>
      </c>
      <c r="C12" s="10"/>
      <c r="D12" s="22">
        <v>500</v>
      </c>
    </row>
    <row r="13" spans="2:4" s="3" customFormat="1" x14ac:dyDescent="0.3">
      <c r="B13" s="15" t="s">
        <v>2</v>
      </c>
      <c r="C13" s="10"/>
      <c r="D13" s="23">
        <v>5</v>
      </c>
    </row>
    <row r="14" spans="2:4" s="3" customFormat="1" x14ac:dyDescent="0.3">
      <c r="B14" s="15" t="s">
        <v>3</v>
      </c>
      <c r="C14" s="10"/>
      <c r="D14" s="24">
        <v>1.0789999999999999E-2</v>
      </c>
    </row>
    <row r="15" spans="2:4" s="3" customFormat="1" x14ac:dyDescent="0.3">
      <c r="B15" s="25" t="s">
        <v>4</v>
      </c>
      <c r="C15" s="11"/>
      <c r="D15" s="26">
        <f>FV(taxa_mensal,qnt_anos*12,aporte*-1)</f>
        <v>41888.456999243819</v>
      </c>
    </row>
    <row r="16" spans="2:4" s="3" customFormat="1" ht="17" thickBot="1" x14ac:dyDescent="0.35">
      <c r="B16" s="27" t="s">
        <v>5</v>
      </c>
      <c r="C16" s="28"/>
      <c r="D16" s="29">
        <f>patrimonio*rendimento_carteira</f>
        <v>251.33074199546292</v>
      </c>
    </row>
    <row r="17" spans="1:4" s="3" customFormat="1" ht="17" thickBot="1" x14ac:dyDescent="0.35">
      <c r="C17" s="4"/>
    </row>
    <row r="18" spans="1:4" s="3" customFormat="1" x14ac:dyDescent="0.3">
      <c r="B18" s="6" t="s">
        <v>11</v>
      </c>
      <c r="C18" s="7"/>
      <c r="D18" s="8" t="s">
        <v>12</v>
      </c>
    </row>
    <row r="19" spans="1:4" s="3" customFormat="1" x14ac:dyDescent="0.3">
      <c r="A19" s="5">
        <v>2</v>
      </c>
      <c r="B19" s="30" t="s">
        <v>6</v>
      </c>
      <c r="C19" s="9">
        <f>FV($D$14,$A19*12,$D$12*-1)</f>
        <v>13613.813648822608</v>
      </c>
      <c r="D19" s="31">
        <f>C19*rendimento_carteira</f>
        <v>81.682881892935654</v>
      </c>
    </row>
    <row r="20" spans="1:4" s="3" customFormat="1" x14ac:dyDescent="0.3">
      <c r="A20" s="5">
        <v>5</v>
      </c>
      <c r="B20" s="30" t="s">
        <v>7</v>
      </c>
      <c r="C20" s="9">
        <f>FV($D$14,$A20*12,$D$12*-1)</f>
        <v>41888.456999243819</v>
      </c>
      <c r="D20" s="31">
        <f>C20*rendimento_carteira</f>
        <v>251.33074199546292</v>
      </c>
    </row>
    <row r="21" spans="1:4" s="3" customFormat="1" x14ac:dyDescent="0.3">
      <c r="A21" s="5">
        <v>10</v>
      </c>
      <c r="B21" s="30" t="s">
        <v>8</v>
      </c>
      <c r="C21" s="9">
        <f>FV($D$14,$A21*12,$D$12*-1)</f>
        <v>121642.1062650861</v>
      </c>
      <c r="D21" s="31">
        <f>C21*rendimento_carteira</f>
        <v>729.85263759051657</v>
      </c>
    </row>
    <row r="22" spans="1:4" s="3" customFormat="1" x14ac:dyDescent="0.3">
      <c r="A22" s="5">
        <v>20</v>
      </c>
      <c r="B22" s="30" t="s">
        <v>9</v>
      </c>
      <c r="C22" s="9">
        <f>FV($D$14,$A22*12,$D$12*-1)</f>
        <v>562599.20004854025</v>
      </c>
      <c r="D22" s="31">
        <f>C22*rendimento_carteira</f>
        <v>3375.5952002912418</v>
      </c>
    </row>
    <row r="23" spans="1:4" s="3" customFormat="1" ht="17" thickBot="1" x14ac:dyDescent="0.35">
      <c r="A23" s="5">
        <v>30</v>
      </c>
      <c r="B23" s="32" t="s">
        <v>10</v>
      </c>
      <c r="C23" s="33">
        <f>FV($D$14,$A23*12,$D$12*-1)</f>
        <v>2161084.8275023573</v>
      </c>
      <c r="D23" s="20">
        <f>C23*rendimento_carteira</f>
        <v>12966.508965014144</v>
      </c>
    </row>
    <row r="24" spans="1:4" s="3" customFormat="1" ht="17" thickBot="1" x14ac:dyDescent="0.35"/>
    <row r="25" spans="1:4" s="3" customFormat="1" x14ac:dyDescent="0.3">
      <c r="B25" s="42" t="s">
        <v>18</v>
      </c>
      <c r="C25" s="43"/>
      <c r="D25" s="41" t="s">
        <v>16</v>
      </c>
    </row>
    <row r="26" spans="1:4" s="3" customFormat="1" ht="17" thickBot="1" x14ac:dyDescent="0.35">
      <c r="B26" s="34" t="s">
        <v>17</v>
      </c>
      <c r="C26" s="40"/>
      <c r="D26" s="35">
        <f>aporte</f>
        <v>500</v>
      </c>
    </row>
    <row r="27" spans="1:4" ht="17" thickBot="1" x14ac:dyDescent="0.35"/>
    <row r="28" spans="1:4" x14ac:dyDescent="0.3">
      <c r="B28" s="47" t="s">
        <v>23</v>
      </c>
      <c r="C28" s="44" t="s">
        <v>19</v>
      </c>
      <c r="D28" s="36" t="s">
        <v>20</v>
      </c>
    </row>
    <row r="29" spans="1:4" x14ac:dyDescent="0.3">
      <c r="B29" s="49" t="s">
        <v>21</v>
      </c>
      <c r="C29" s="50">
        <f>VLOOKUP($D$25&amp;"-"&amp;B29,Apoio!A2:D20,4,FALSE)</f>
        <v>0.3</v>
      </c>
      <c r="D29" s="51">
        <f>C29*$D$26</f>
        <v>150</v>
      </c>
    </row>
    <row r="30" spans="1:4" x14ac:dyDescent="0.3">
      <c r="B30" s="52" t="s">
        <v>22</v>
      </c>
      <c r="C30" s="53">
        <f>VLOOKUP($D$25&amp;"-"&amp;B30,Apoio!A3:D21,4,FALSE)</f>
        <v>0.5</v>
      </c>
      <c r="D30" s="54">
        <f>C30*$D$26</f>
        <v>250</v>
      </c>
    </row>
    <row r="31" spans="1:4" x14ac:dyDescent="0.3">
      <c r="B31" s="52" t="s">
        <v>24</v>
      </c>
      <c r="C31" s="53">
        <f>VLOOKUP($D$25&amp;"-"&amp;B31,Apoio!A4:D22,4,FALSE)</f>
        <v>0.1</v>
      </c>
      <c r="D31" s="54">
        <f>C31*$D$26</f>
        <v>50</v>
      </c>
    </row>
    <row r="32" spans="1:4" x14ac:dyDescent="0.3">
      <c r="B32" s="48" t="s">
        <v>25</v>
      </c>
      <c r="C32" s="55">
        <f>VLOOKUP($D$25&amp;"-"&amp;B32,Apoio!A5:D23,4,FALSE)</f>
        <v>0.1</v>
      </c>
      <c r="D32" s="54">
        <f>C32*$D$26</f>
        <v>50</v>
      </c>
    </row>
    <row r="33" spans="2:4" x14ac:dyDescent="0.3">
      <c r="B33" s="48" t="s">
        <v>26</v>
      </c>
      <c r="C33" s="45">
        <f>VLOOKUP($D$25&amp;"-"&amp;B33,Apoio!A6:D24,4,FALSE)</f>
        <v>0</v>
      </c>
      <c r="D33" s="56">
        <f>C33*$D$26</f>
        <v>0</v>
      </c>
    </row>
    <row r="34" spans="2:4" x14ac:dyDescent="0.3">
      <c r="B34" s="48" t="s">
        <v>27</v>
      </c>
      <c r="C34" s="45">
        <f>VLOOKUP($D$25&amp;"-"&amp;B34,Apoio!A7:D25,4,FALSE)</f>
        <v>0</v>
      </c>
      <c r="D34" s="39">
        <f>C34*$D$26</f>
        <v>0</v>
      </c>
    </row>
    <row r="35" spans="2:4" ht="17" thickBot="1" x14ac:dyDescent="0.35">
      <c r="B35" s="37"/>
      <c r="C35" s="46"/>
      <c r="D35" s="38">
        <f>SUM(D29:D34)</f>
        <v>500</v>
      </c>
    </row>
    <row r="36" spans="2:4" x14ac:dyDescent="0.3">
      <c r="C36" s="57"/>
    </row>
    <row r="37" spans="2:4" x14ac:dyDescent="0.3">
      <c r="C37" s="3"/>
    </row>
  </sheetData>
  <mergeCells count="13">
    <mergeCell ref="B9:C9"/>
    <mergeCell ref="B11:D11"/>
    <mergeCell ref="B6:D6"/>
    <mergeCell ref="B25:C25"/>
    <mergeCell ref="B26:C26"/>
    <mergeCell ref="B18:C18"/>
    <mergeCell ref="B12:C12"/>
    <mergeCell ref="B13:C13"/>
    <mergeCell ref="B14:C14"/>
    <mergeCell ref="B15:C15"/>
    <mergeCell ref="B16:C16"/>
    <mergeCell ref="B7:C7"/>
    <mergeCell ref="B8:C8"/>
  </mergeCells>
  <dataValidations count="1">
    <dataValidation type="list" allowBlank="1" showInputMessage="1" showErrorMessage="1" sqref="D25" xr:uid="{2D889D4A-D51F-4071-9590-F39D97AFD3F8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E3B4-3BAB-4874-B66F-40421AC9652C}">
  <dimension ref="A2:D20"/>
  <sheetViews>
    <sheetView workbookViewId="0">
      <selection activeCell="B1" sqref="B1"/>
    </sheetView>
  </sheetViews>
  <sheetFormatPr defaultRowHeight="14.3" x14ac:dyDescent="0.25"/>
  <cols>
    <col min="1" max="1" width="28.75" bestFit="1" customWidth="1"/>
    <col min="2" max="2" width="11" bestFit="1" customWidth="1"/>
    <col min="3" max="3" width="19.875" bestFit="1" customWidth="1"/>
  </cols>
  <sheetData>
    <row r="2" spans="1:4" ht="16.3" x14ac:dyDescent="0.3">
      <c r="A2" t="s">
        <v>28</v>
      </c>
      <c r="B2" t="s">
        <v>18</v>
      </c>
      <c r="C2" s="2" t="s">
        <v>23</v>
      </c>
      <c r="D2" t="s">
        <v>31</v>
      </c>
    </row>
    <row r="3" spans="1:4" ht="16.3" x14ac:dyDescent="0.3">
      <c r="A3" t="str">
        <f>B3&amp;"-"&amp;C3</f>
        <v>Conservador-PAPEL</v>
      </c>
      <c r="B3" t="s">
        <v>16</v>
      </c>
      <c r="C3" s="2" t="s">
        <v>21</v>
      </c>
      <c r="D3" s="1">
        <v>0.3</v>
      </c>
    </row>
    <row r="4" spans="1:4" ht="16.3" x14ac:dyDescent="0.3">
      <c r="A4" t="str">
        <f t="shared" ref="A4:A20" si="0">B4&amp;"-"&amp;C4</f>
        <v>Conservador-TIJOLO</v>
      </c>
      <c r="B4" t="s">
        <v>16</v>
      </c>
      <c r="C4" s="2" t="s">
        <v>22</v>
      </c>
      <c r="D4" s="1">
        <v>0.5</v>
      </c>
    </row>
    <row r="5" spans="1:4" ht="16.3" x14ac:dyDescent="0.3">
      <c r="A5" t="str">
        <f t="shared" si="0"/>
        <v>Conservador-HIBRIDOS</v>
      </c>
      <c r="B5" t="s">
        <v>16</v>
      </c>
      <c r="C5" s="2" t="s">
        <v>24</v>
      </c>
      <c r="D5" s="1">
        <v>0.1</v>
      </c>
    </row>
    <row r="6" spans="1:4" ht="16.3" x14ac:dyDescent="0.3">
      <c r="A6" t="str">
        <f t="shared" si="0"/>
        <v>Conservador-FOFs</v>
      </c>
      <c r="B6" t="s">
        <v>16</v>
      </c>
      <c r="C6" s="2" t="s">
        <v>25</v>
      </c>
      <c r="D6" s="1">
        <v>0.1</v>
      </c>
    </row>
    <row r="7" spans="1:4" ht="16.3" x14ac:dyDescent="0.3">
      <c r="A7" t="str">
        <f t="shared" si="0"/>
        <v>Conservador-DESENVOLVIMENTO</v>
      </c>
      <c r="B7" t="s">
        <v>16</v>
      </c>
      <c r="C7" s="2" t="s">
        <v>26</v>
      </c>
      <c r="D7" s="1">
        <v>0</v>
      </c>
    </row>
    <row r="8" spans="1:4" ht="16.3" x14ac:dyDescent="0.3">
      <c r="A8" t="str">
        <f t="shared" si="0"/>
        <v>Conservador-HOTELARIAS</v>
      </c>
      <c r="B8" t="s">
        <v>16</v>
      </c>
      <c r="C8" s="2" t="s">
        <v>27</v>
      </c>
      <c r="D8" s="1">
        <v>0</v>
      </c>
    </row>
    <row r="9" spans="1:4" ht="16.3" x14ac:dyDescent="0.3">
      <c r="A9" t="str">
        <f t="shared" si="0"/>
        <v>Moderado-PAPEL</v>
      </c>
      <c r="B9" t="s">
        <v>29</v>
      </c>
      <c r="C9" s="2" t="s">
        <v>21</v>
      </c>
      <c r="D9" s="1">
        <v>0.32</v>
      </c>
    </row>
    <row r="10" spans="1:4" ht="16.3" x14ac:dyDescent="0.3">
      <c r="A10" t="str">
        <f t="shared" si="0"/>
        <v>Moderado-TIJOLO</v>
      </c>
      <c r="B10" t="s">
        <v>29</v>
      </c>
      <c r="C10" s="2" t="s">
        <v>22</v>
      </c>
      <c r="D10" s="1">
        <v>0.35</v>
      </c>
    </row>
    <row r="11" spans="1:4" ht="16.3" x14ac:dyDescent="0.3">
      <c r="A11" t="str">
        <f t="shared" si="0"/>
        <v>Moderado-HIBRIDOS</v>
      </c>
      <c r="B11" t="s">
        <v>29</v>
      </c>
      <c r="C11" s="2" t="s">
        <v>24</v>
      </c>
      <c r="D11" s="1">
        <v>0.08</v>
      </c>
    </row>
    <row r="12" spans="1:4" ht="16.3" x14ac:dyDescent="0.3">
      <c r="A12" t="str">
        <f t="shared" si="0"/>
        <v>Moderado-FOFs</v>
      </c>
      <c r="B12" t="s">
        <v>29</v>
      </c>
      <c r="C12" s="2" t="s">
        <v>25</v>
      </c>
      <c r="D12" s="1">
        <v>0.05</v>
      </c>
    </row>
    <row r="13" spans="1:4" ht="16.3" x14ac:dyDescent="0.3">
      <c r="A13" t="str">
        <f t="shared" si="0"/>
        <v>Moderado-DESENVOLVIMENTO</v>
      </c>
      <c r="B13" t="s">
        <v>29</v>
      </c>
      <c r="C13" s="2" t="s">
        <v>26</v>
      </c>
      <c r="D13" s="1">
        <v>0.1</v>
      </c>
    </row>
    <row r="14" spans="1:4" ht="16.3" x14ac:dyDescent="0.3">
      <c r="A14" t="str">
        <f t="shared" si="0"/>
        <v>Moderado-HOTELARIAS</v>
      </c>
      <c r="B14" t="s">
        <v>29</v>
      </c>
      <c r="C14" s="2" t="s">
        <v>27</v>
      </c>
      <c r="D14" s="1">
        <v>0.1</v>
      </c>
    </row>
    <row r="15" spans="1:4" ht="16.3" x14ac:dyDescent="0.3">
      <c r="A15" t="str">
        <f t="shared" si="0"/>
        <v>Agressivo-PAPEL</v>
      </c>
      <c r="B15" t="s">
        <v>30</v>
      </c>
      <c r="C15" s="2" t="s">
        <v>21</v>
      </c>
      <c r="D15" s="1">
        <v>0.5</v>
      </c>
    </row>
    <row r="16" spans="1:4" ht="16.3" x14ac:dyDescent="0.3">
      <c r="A16" t="str">
        <f t="shared" si="0"/>
        <v>Agressivo-TIJOLO</v>
      </c>
      <c r="B16" t="s">
        <v>30</v>
      </c>
      <c r="C16" s="2" t="s">
        <v>22</v>
      </c>
      <c r="D16" s="1">
        <v>0.1</v>
      </c>
    </row>
    <row r="17" spans="1:4" ht="16.3" x14ac:dyDescent="0.3">
      <c r="A17" t="str">
        <f t="shared" si="0"/>
        <v>Agressivo-HIBRIDOS</v>
      </c>
      <c r="B17" t="s">
        <v>30</v>
      </c>
      <c r="C17" s="2" t="s">
        <v>24</v>
      </c>
      <c r="D17" s="1">
        <v>0.05</v>
      </c>
    </row>
    <row r="18" spans="1:4" ht="16.3" x14ac:dyDescent="0.3">
      <c r="A18" t="str">
        <f t="shared" si="0"/>
        <v>Agressivo-FOFs</v>
      </c>
      <c r="B18" t="s">
        <v>30</v>
      </c>
      <c r="C18" s="2" t="s">
        <v>25</v>
      </c>
      <c r="D18" s="1">
        <v>0.05</v>
      </c>
    </row>
    <row r="19" spans="1:4" ht="16.3" x14ac:dyDescent="0.3">
      <c r="A19" t="str">
        <f t="shared" si="0"/>
        <v>Agressivo-DESENVOLVIMENTO</v>
      </c>
      <c r="B19" t="s">
        <v>30</v>
      </c>
      <c r="C19" s="2" t="s">
        <v>26</v>
      </c>
      <c r="D19" s="1">
        <v>0.2</v>
      </c>
    </row>
    <row r="20" spans="1:4" ht="16.3" x14ac:dyDescent="0.3">
      <c r="A20" t="str">
        <f t="shared" si="0"/>
        <v>Agressivo-HOTELARIAS</v>
      </c>
      <c r="B20" t="s">
        <v>30</v>
      </c>
      <c r="C20" s="2" t="s">
        <v>27</v>
      </c>
      <c r="D20" s="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Controle de investimentos</vt:lpstr>
      <vt:lpstr>Apoio</vt:lpstr>
      <vt:lpstr>aporte</vt:lpstr>
      <vt:lpstr>patrimonio</vt:lpstr>
      <vt:lpstr>qnt_anos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Maiara Barreto</dc:creator>
  <cp:lastModifiedBy>Maiara Barreto</cp:lastModifiedBy>
  <dcterms:created xsi:type="dcterms:W3CDTF">2025-12-26T13:19:01Z</dcterms:created>
  <dcterms:modified xsi:type="dcterms:W3CDTF">2025-12-26T15:07:46Z</dcterms:modified>
</cp:coreProperties>
</file>